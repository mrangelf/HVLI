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ndar-my.sharepoint.com/personal/andrea_fundar_org_mx/Documents/Documentos/Análisis presupuestario/Deflactor/ppef 2026/"/>
    </mc:Choice>
  </mc:AlternateContent>
  <xr:revisionPtr revIDLastSave="0" documentId="8_{693AA9F1-9710-48B7-A4E1-E2B859064C1D}" xr6:coauthVersionLast="47" xr6:coauthVersionMax="47" xr10:uidLastSave="{00000000-0000-0000-0000-000000000000}"/>
  <bookViews>
    <workbookView xWindow="11424" yWindow="0" windowWidth="11712" windowHeight="13776" xr2:uid="{ACBDA29E-F040-4E5D-A037-67757EC6D2B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</calcChain>
</file>

<file path=xl/sharedStrings.xml><?xml version="1.0" encoding="utf-8"?>
<sst xmlns="http://schemas.openxmlformats.org/spreadsheetml/2006/main" count="7" uniqueCount="7">
  <si>
    <t xml:space="preserve">CICLO </t>
  </si>
  <si>
    <t xml:space="preserve">Deflactor implícito del PIB 2020=100 </t>
  </si>
  <si>
    <t>2025/e</t>
  </si>
  <si>
    <t xml:space="preserve">2026/e </t>
  </si>
  <si>
    <t>Nota: 2025 y 2026 contemplan el deflactor del PIB estimado por SHCP de 5.2% y 4.8%, respectivamente, disponibles en los PCGPE 2026.</t>
  </si>
  <si>
    <t xml:space="preserve">Se utiliza la siguiente fórmula para deflactar: </t>
  </si>
  <si>
    <t xml:space="preserve">Donde: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</si>
</sst>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5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165" fontId="0" fillId="0" borderId="0" xfId="1" applyNumberFormat="1" applyFont="1"/>
    <xf numFmtId="10" fontId="0" fillId="0" borderId="0" xfId="1" applyNumberFormat="1" applyFont="1"/>
    <xf numFmtId="0" fontId="3" fillId="2" borderId="0" xfId="0" applyFont="1" applyFill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EEEEEE"/>
      <color rgb="FFE2E2E2"/>
      <color rgb="FFD9D9D9"/>
      <color rgb="FF4F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40</xdr:row>
      <xdr:rowOff>19050</xdr:rowOff>
    </xdr:from>
    <xdr:to>
      <xdr:col>1</xdr:col>
      <xdr:colOff>1238076</xdr:colOff>
      <xdr:row>43</xdr:row>
      <xdr:rowOff>22157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44A370-1CD3-23E7-3B1C-2523AF0E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201025"/>
          <a:ext cx="1390476" cy="546032"/>
        </a:xfrm>
        <a:prstGeom prst="rect">
          <a:avLst/>
        </a:prstGeom>
      </xdr:spPr>
    </xdr:pic>
    <xdr:clientData/>
  </xdr:twoCellAnchor>
  <xdr:twoCellAnchor editAs="oneCell">
    <xdr:from>
      <xdr:col>0</xdr:col>
      <xdr:colOff>203994</xdr:colOff>
      <xdr:row>45</xdr:row>
      <xdr:rowOff>102394</xdr:rowOff>
    </xdr:from>
    <xdr:to>
      <xdr:col>2</xdr:col>
      <xdr:colOff>37748</xdr:colOff>
      <xdr:row>51</xdr:row>
      <xdr:rowOff>12577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DDFDD0-DD5F-CE33-9A8E-19E8F3923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994" y="9246394"/>
          <a:ext cx="2822223" cy="981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41C3-09AF-4091-92D3-9883C970CB11}">
  <dimension ref="A1:E52"/>
  <sheetViews>
    <sheetView tabSelected="1" topLeftCell="A19" zoomScale="110" zoomScaleNormal="110" workbookViewId="0">
      <selection activeCell="B31" sqref="B31"/>
    </sheetView>
  </sheetViews>
  <sheetFormatPr defaultColWidth="11.42578125" defaultRowHeight="14.45"/>
  <cols>
    <col min="2" max="2" width="31.85546875" customWidth="1"/>
  </cols>
  <sheetData>
    <row r="1" spans="1:3" ht="31.15">
      <c r="A1" s="7" t="s">
        <v>0</v>
      </c>
      <c r="B1" s="8" t="s">
        <v>1</v>
      </c>
    </row>
    <row r="2" spans="1:3" ht="15.6">
      <c r="A2" s="1">
        <v>1993</v>
      </c>
      <c r="B2" s="2">
        <v>10.892961751188452</v>
      </c>
    </row>
    <row r="3" spans="1:3" ht="15.6">
      <c r="A3" s="1">
        <v>1994</v>
      </c>
      <c r="B3" s="2">
        <v>11.800318311480147</v>
      </c>
      <c r="C3" s="9"/>
    </row>
    <row r="4" spans="1:3" ht="15.6">
      <c r="A4" s="1">
        <v>1995</v>
      </c>
      <c r="B4" s="2">
        <v>16.399669612439485</v>
      </c>
      <c r="C4" s="9"/>
    </row>
    <row r="5" spans="1:3" ht="15.6">
      <c r="A5" s="1">
        <v>1996</v>
      </c>
      <c r="B5" s="2">
        <v>20.742521202439367</v>
      </c>
      <c r="C5" s="9"/>
    </row>
    <row r="6" spans="1:3" ht="15.6">
      <c r="A6" s="1">
        <v>1997</v>
      </c>
      <c r="B6" s="2">
        <v>24.415095642201834</v>
      </c>
      <c r="C6" s="9"/>
    </row>
    <row r="7" spans="1:3" ht="15.6">
      <c r="A7" s="1">
        <v>1998</v>
      </c>
      <c r="B7" s="2">
        <v>28.278679496046514</v>
      </c>
      <c r="C7" s="9"/>
    </row>
    <row r="8" spans="1:3" ht="15.6">
      <c r="A8" s="1">
        <v>1999</v>
      </c>
      <c r="B8" s="2">
        <v>32.606807607949584</v>
      </c>
      <c r="C8" s="9"/>
    </row>
    <row r="9" spans="1:3" ht="15.6">
      <c r="A9" s="1">
        <v>2000</v>
      </c>
      <c r="B9" s="2">
        <v>36.105393738945928</v>
      </c>
      <c r="C9" s="9"/>
    </row>
    <row r="10" spans="1:3" ht="15.6">
      <c r="A10" s="1">
        <v>2001</v>
      </c>
      <c r="B10" s="2">
        <v>38.446698347835891</v>
      </c>
      <c r="C10" s="9"/>
    </row>
    <row r="11" spans="1:3" ht="15.6">
      <c r="A11" s="1">
        <v>2002</v>
      </c>
      <c r="B11" s="2">
        <v>40.546059613810634</v>
      </c>
      <c r="C11" s="9"/>
    </row>
    <row r="12" spans="1:3" ht="15.6">
      <c r="A12" s="1">
        <v>2003</v>
      </c>
      <c r="B12" s="2">
        <v>42.294352238015186</v>
      </c>
      <c r="C12" s="9"/>
    </row>
    <row r="13" spans="1:3" ht="15.6">
      <c r="A13" s="1">
        <v>2004</v>
      </c>
      <c r="B13" s="2">
        <v>45.718278748398127</v>
      </c>
      <c r="C13" s="9"/>
    </row>
    <row r="14" spans="1:3" ht="15.6">
      <c r="A14" s="1">
        <v>2005</v>
      </c>
      <c r="B14" s="2">
        <v>48.407740255618293</v>
      </c>
      <c r="C14" s="9"/>
    </row>
    <row r="15" spans="1:3" ht="15.6">
      <c r="A15" s="1">
        <v>2006</v>
      </c>
      <c r="B15" s="2">
        <v>51.366674511342794</v>
      </c>
      <c r="C15" s="9"/>
    </row>
    <row r="16" spans="1:3" ht="15.6">
      <c r="A16" s="1">
        <v>2007</v>
      </c>
      <c r="B16" s="2">
        <v>54.513333884541098</v>
      </c>
      <c r="C16" s="9"/>
    </row>
    <row r="17" spans="1:5" ht="15.6">
      <c r="A17" s="1">
        <v>2008</v>
      </c>
      <c r="B17" s="2">
        <v>57.958110454684373</v>
      </c>
      <c r="C17" s="9"/>
    </row>
    <row r="18" spans="1:5" ht="15.6">
      <c r="A18" s="1">
        <v>2009</v>
      </c>
      <c r="B18" s="2">
        <v>60.988401815896395</v>
      </c>
      <c r="C18" s="9"/>
    </row>
    <row r="19" spans="1:5" ht="15.6">
      <c r="A19" s="1">
        <v>2010</v>
      </c>
      <c r="B19" s="2">
        <v>63.661702358678731</v>
      </c>
      <c r="C19" s="9"/>
    </row>
    <row r="20" spans="1:5" ht="15.6">
      <c r="A20" s="1">
        <v>2011</v>
      </c>
      <c r="B20" s="2">
        <v>67.252814929336907</v>
      </c>
      <c r="C20" s="9"/>
    </row>
    <row r="21" spans="1:5" ht="15.6">
      <c r="A21" s="1">
        <v>2012</v>
      </c>
      <c r="B21" s="2">
        <v>70.335124756991874</v>
      </c>
      <c r="C21" s="9"/>
    </row>
    <row r="22" spans="1:5" ht="15.6">
      <c r="A22" s="1">
        <v>2013</v>
      </c>
      <c r="B22" s="2">
        <v>71.535491995004108</v>
      </c>
      <c r="C22" s="9"/>
    </row>
    <row r="23" spans="1:5" ht="15.6">
      <c r="A23" s="1">
        <v>2014</v>
      </c>
      <c r="B23" s="2">
        <v>74.652352970322937</v>
      </c>
      <c r="C23" s="9"/>
    </row>
    <row r="24" spans="1:5" ht="15.6">
      <c r="A24" s="1">
        <v>2015</v>
      </c>
      <c r="B24" s="2">
        <v>77.056154163468591</v>
      </c>
      <c r="C24" s="9"/>
    </row>
    <row r="25" spans="1:5" ht="15.6">
      <c r="A25" s="1">
        <v>2016</v>
      </c>
      <c r="B25" s="2">
        <v>81.720716901393374</v>
      </c>
      <c r="C25" s="9"/>
    </row>
    <row r="26" spans="1:5" ht="15.6">
      <c r="A26" s="1">
        <v>2017</v>
      </c>
      <c r="B26" s="2">
        <v>87.113807145020658</v>
      </c>
      <c r="C26" s="9"/>
    </row>
    <row r="27" spans="1:5" ht="15.6">
      <c r="A27" s="1">
        <v>2018</v>
      </c>
      <c r="B27" s="2">
        <v>91.643434162471664</v>
      </c>
      <c r="C27" s="9"/>
    </row>
    <row r="28" spans="1:5" ht="15.6">
      <c r="A28" s="1">
        <v>2019</v>
      </c>
      <c r="B28" s="2">
        <v>95.61204963752742</v>
      </c>
      <c r="C28" s="9"/>
    </row>
    <row r="29" spans="1:5" ht="15.6">
      <c r="A29" s="1">
        <v>2020</v>
      </c>
      <c r="B29" s="2">
        <v>99.999999999999986</v>
      </c>
      <c r="C29" s="9"/>
    </row>
    <row r="30" spans="1:5" ht="15.6">
      <c r="A30" s="1">
        <v>2021</v>
      </c>
      <c r="B30" s="2">
        <v>104.50748642760087</v>
      </c>
      <c r="C30" s="9"/>
    </row>
    <row r="31" spans="1:5" ht="15.6">
      <c r="A31" s="1">
        <v>2022</v>
      </c>
      <c r="B31" s="2">
        <v>111.46001579450802</v>
      </c>
      <c r="C31" s="9"/>
    </row>
    <row r="32" spans="1:5" ht="15.6">
      <c r="A32" s="1">
        <v>2023</v>
      </c>
      <c r="B32" s="2">
        <v>116.65361617465551</v>
      </c>
      <c r="C32" s="10"/>
      <c r="E32" s="9"/>
    </row>
    <row r="33" spans="1:5" ht="15.6">
      <c r="A33" s="1">
        <v>2024</v>
      </c>
      <c r="B33" s="2">
        <v>122.37457318387554</v>
      </c>
      <c r="C33" s="10"/>
      <c r="E33" s="10"/>
    </row>
    <row r="34" spans="1:5" ht="15.6">
      <c r="A34" s="1" t="s">
        <v>2</v>
      </c>
      <c r="B34" s="2">
        <f>+B33*(1.052)</f>
        <v>128.73805098943708</v>
      </c>
      <c r="C34" s="10"/>
      <c r="E34" s="10"/>
    </row>
    <row r="35" spans="1:5" ht="15.6">
      <c r="A35" s="1" t="s">
        <v>3</v>
      </c>
      <c r="B35" s="2">
        <f>+B34*(1+0.048)</f>
        <v>134.91747743693006</v>
      </c>
      <c r="C35" s="10"/>
      <c r="E35" s="10"/>
    </row>
    <row r="36" spans="1:5">
      <c r="A36" s="11" t="s">
        <v>4</v>
      </c>
      <c r="B36" s="11"/>
      <c r="C36" s="9"/>
      <c r="E36" s="9"/>
    </row>
    <row r="37" spans="1:5">
      <c r="A37" s="11"/>
      <c r="B37" s="11"/>
      <c r="C37" s="9"/>
    </row>
    <row r="38" spans="1:5" ht="54" customHeight="1">
      <c r="A38" s="11"/>
      <c r="B38" s="11"/>
      <c r="C38" s="9"/>
    </row>
    <row r="39" spans="1:5" ht="14.65" customHeight="1">
      <c r="A39" s="3"/>
      <c r="B39" s="4"/>
    </row>
    <row r="40" spans="1:5">
      <c r="A40" s="4" t="s">
        <v>5</v>
      </c>
      <c r="B40" s="4"/>
    </row>
    <row r="41" spans="1:5">
      <c r="A41" s="5"/>
      <c r="B41" s="5"/>
    </row>
    <row r="42" spans="1:5">
      <c r="A42" s="5"/>
      <c r="B42" s="5"/>
    </row>
    <row r="43" spans="1:5">
      <c r="A43" s="5"/>
      <c r="B43" s="5"/>
    </row>
    <row r="44" spans="1:5">
      <c r="A44" s="5"/>
      <c r="B44" s="5"/>
    </row>
    <row r="45" spans="1:5" ht="15.6">
      <c r="A45" s="6" t="s">
        <v>6</v>
      </c>
      <c r="B45" s="5"/>
    </row>
    <row r="46" spans="1:5">
      <c r="A46" s="5"/>
      <c r="B46" s="5"/>
    </row>
    <row r="47" spans="1:5">
      <c r="A47" s="5"/>
      <c r="B47" s="5"/>
    </row>
    <row r="48" spans="1:5">
      <c r="A48" s="5"/>
      <c r="B48" s="5"/>
    </row>
    <row r="49" spans="1:2">
      <c r="A49" s="5"/>
      <c r="B49" s="5"/>
    </row>
    <row r="50" spans="1:2">
      <c r="A50" s="5"/>
      <c r="B50" s="5"/>
    </row>
    <row r="51" spans="1:2">
      <c r="A51" s="5"/>
      <c r="B51" s="5"/>
    </row>
    <row r="52" spans="1:2">
      <c r="A52" s="5"/>
      <c r="B52" s="5"/>
    </row>
  </sheetData>
  <mergeCells count="1">
    <mergeCell ref="A36:B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</dc:creator>
  <cp:keywords/>
  <dc:description/>
  <cp:lastModifiedBy>Andrea Larios</cp:lastModifiedBy>
  <cp:revision/>
  <dcterms:created xsi:type="dcterms:W3CDTF">2022-09-12T16:34:02Z</dcterms:created>
  <dcterms:modified xsi:type="dcterms:W3CDTF">2026-04-10T07:36:37Z</dcterms:modified>
  <cp:category/>
  <cp:contentStatus/>
</cp:coreProperties>
</file>